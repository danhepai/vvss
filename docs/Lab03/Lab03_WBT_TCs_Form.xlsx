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A0106DE1-8FCF-45F4-A98D-38D70E1A37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<sst xmlns="http://schemas.openxmlformats.org/spreadsheetml/2006/main" count="214" uniqueCount="117">
  <si>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</si>
  <si>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</si>
  <si>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</si>
  <si>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</si>
  <si>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</si>
  <si>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</si>
  <si>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</si>
  <si>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</si>
  <si>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</si>
  <si>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</si>
  <si>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</si>
  <si>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</si>
  <si>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</si>
  <si>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</si>
  <si>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</si>
  <si>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</si>
  <si>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CC1 = No. of regions =</t>
  </si>
  <si>
    <t>…</t>
  </si>
  <si>
    <t>CC2 = Edges - Nodes + 2 =</t>
  </si>
  <si>
    <t>CC3 = No. of Conditions + 1 =</t>
  </si>
  <si>
    <t>Predicate+1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</si>
  <si>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</si>
  <si>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</si>
  <si>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</si>
  <si>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</si>
  <si>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</si>
  <si>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</si>
  <si>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</si>
  <si>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</si>
  <si>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</si>
  <si>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</si>
  <si>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</si>
  <si>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</si>
  <si>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</si>
  <si>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</si>
  <si>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</si>
  <si>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</si>
  <si>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</si>
  <si>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</si>
  <si>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</si>
  <si>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</si>
  <si>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</si>
  <si>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</si>
  <si>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</si>
  <si>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</si>
  <si>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</si>
  <si>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</si>
  <si>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</si>
  <si>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</si>
  <si>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</si>
  <si>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</si>
  <si>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</si>
  <si>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</si>
  <si>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</si>
  <si>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</si>
  <si>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</si>
  <si>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</si>
  <si>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</si>
  <si>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</si>
  <si>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</si>
  <si>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</si>
  <si>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</si>
  <si>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</si>
  <si>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</si>
  <si>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</si>
  <si>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</si>
  <si>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List&lt;Product&gt; matchingProducts = new ArrayList&lt;&gt;();</t>
  </si>
  <si>
    <t>if (categorie == null) {</t>
  </si>
  <si>
    <t>}</t>
  </si>
  <si>
    <t>else if (categorie == CategorieBautura.ALL) {</t>
  </si>
  <si>
    <t>matchingProducts = getAllProducts();</t>
  </si>
  <si>
    <t>} else { var allProducts = getAllProducts();</t>
  </si>
  <si>
    <t>var product = new Product(0, null, 0.0, null, null);</t>
  </si>
  <si>
    <t>while (!allProducts.isEmpty()){</t>
  </si>
  <si>
    <t>product = allProducts.removeFirst();</t>
  </si>
  <si>
    <t>if (product.getCategorie() == categorie)</t>
  </si>
  <si>
    <t>matchingProducts.add(product);}</t>
  </si>
  <si>
    <t>return matchingProducts;</t>
  </si>
  <si>
    <t>F02_P04</t>
  </si>
  <si>
    <t>F02_P05</t>
  </si>
  <si>
    <t>1-2(F)-4(F)-6-7-8(F)-9-10(T)-11-8(T)-12-13</t>
  </si>
  <si>
    <t>1-2(F)-4(F)-6-7-8(F)-9-10(F)-8(T)-12-13</t>
  </si>
  <si>
    <t>1-2(F)-4(F)-6-7-8(T)-12-13</t>
  </si>
  <si>
    <t>1-2(F)-4(T)-5-12-13</t>
  </si>
  <si>
    <t>1-2(T)-3-13</t>
  </si>
  <si>
    <t>1. Gestionarea produselor</t>
  </si>
  <si>
    <t>Un utilizator poate filtra dupa categorie si dupa tipul produsului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</si>
  <si>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filtrarea produselor dupa categorie</t>
    </r>
  </si>
  <si>
    <t>Bucur Cezar-Gabriel</t>
  </si>
  <si>
    <t>categorie == null</t>
  </si>
  <si>
    <t>categorie == CategorieBautura.ALL</t>
  </si>
  <si>
    <t>allProducts.isEmpty()</t>
  </si>
  <si>
    <t>product.getCategorie() == categorie</t>
  </si>
  <si>
    <t>F02_TC03</t>
  </si>
  <si>
    <t>F02_TC04</t>
  </si>
  <si>
    <t>F02_TC05</t>
  </si>
  <si>
    <t>F02_TC06</t>
  </si>
  <si>
    <t>x</t>
  </si>
  <si>
    <t>1,2,3,13</t>
  </si>
  <si>
    <t>1,2,4,5,12,13</t>
  </si>
  <si>
    <t>1,2,4,6,7,8,12,13</t>
  </si>
  <si>
    <t>1,2,4,6,7,8,9,10,11,12,13</t>
  </si>
  <si>
    <t>1,2,4,6,7,8,9,10,12,13</t>
  </si>
  <si>
    <t>categorie; allProducts.size();</t>
  </si>
  <si>
    <t>matchingProducts</t>
  </si>
  <si>
    <t>null; 5</t>
  </si>
  <si>
    <t>null</t>
  </si>
  <si>
    <t>CategorieBautura.ALL; 5</t>
  </si>
  <si>
    <t>*all of the products*</t>
  </si>
  <si>
    <t>CategorieBautura.Juice; 0</t>
  </si>
  <si>
    <t>*empty list*</t>
  </si>
  <si>
    <t>CategorieBautura.Juice; 5</t>
  </si>
  <si>
    <t>*empty list, none matched*</t>
  </si>
  <si>
    <t>allProducts</t>
  </si>
  <si>
    <t>CategorieBautura.Juice; 1</t>
  </si>
  <si>
    <t>m</t>
  </si>
  <si>
    <t>CategorieBautura.Juice;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</si>
</sst>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9" borderId="8" xfId="0" applyFon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1" fillId="0" borderId="0" xfId="0" applyFont="1"/>
    <xf numFmtId="0" fontId="14" fillId="0" borderId="0" xfId="0" applyFont="1"/>
    <xf numFmtId="0" fontId="7" fillId="0" borderId="2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/>
    </xf>
    <xf numFmtId="0" fontId="7" fillId="11" borderId="28" xfId="0" applyFont="1" applyFill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2" xfId="0" applyFont="1" applyFill="1" applyBorder="1" applyAlignment="1">
      <alignment horizontal="center" vertical="center"/>
    </xf>
    <xf numFmtId="0" fontId="7" fillId="12" borderId="3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49" fontId="0" fillId="0" borderId="8" xfId="0" applyNumberFormat="1" applyBorder="1"/>
    <xf numFmtId="0" fontId="0" fillId="0" borderId="8" xfId="0" applyBorder="1" applyAlignment="1"/>
    <xf numFmtId="0" fontId="7" fillId="8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4" xfId="0" applyBorder="1" applyAlignment="1"/>
    <xf numFmtId="0" fontId="16" fillId="0" borderId="0" xfId="0" applyFont="1"/>
    <xf numFmtId="0" fontId="13" fillId="0" borderId="0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18" fillId="0" borderId="8" xfId="0" applyFont="1" applyBorder="1" applyAlignment="1">
      <alignment horizontal="left" vertical="center" wrapText="1"/>
    </xf>
    <xf numFmtId="0" fontId="18" fillId="4" borderId="8" xfId="0" applyFont="1" applyFill="1" applyBorder="1" applyAlignment="1">
      <alignment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7</xdr:row>
      <xdr:rowOff>0</xdr:rowOff>
    </xdr:from>
    <xdr:to>
      <xdr:col>20</xdr:col>
      <xdr:colOff>174835</xdr:colOff>
      <xdr:row>49</xdr:row>
      <xdr:rowOff>35556</xdr:rowOff>
    </xdr:to>
    <xdr:grpSp>
      <xdr:nvGrpSpPr>
        <xdr:cNvPr id="6227" name="Grupare 6226">
          <a:extLst>
            <a:ext uri="{FF2B5EF4-FFF2-40B4-BE49-F238E27FC236}">
              <a16:creationId xmlns:a16="http://schemas.microsoft.com/office/drawing/2014/main" id="{6A34E7A7-E60A-F3CB-9482-4285AF4876AD}"/>
            </a:ext>
          </a:extLst>
        </xdr:cNvPr>
        <xdr:cNvGrpSpPr/>
      </xdr:nvGrpSpPr>
      <xdr:grpSpPr>
        <a:xfrm>
          <a:off x="5096934" y="1303867"/>
          <a:ext cx="7608568" cy="7858756"/>
          <a:chOff x="0" y="0"/>
          <a:chExt cx="7609114" cy="7858991"/>
        </a:xfrm>
      </xdr:grpSpPr>
      <xdr:sp macro="" textlink="">
        <xdr:nvSpPr>
          <xdr:cNvPr id="6228" name="Dreptunghi 6227">
            <a:extLst>
              <a:ext uri="{FF2B5EF4-FFF2-40B4-BE49-F238E27FC236}">
                <a16:creationId xmlns:a16="http://schemas.microsoft.com/office/drawing/2014/main" id="{30090D50-3D5C-6BA1-A691-9190EA3B9408}"/>
              </a:ext>
            </a:extLst>
          </xdr:cNvPr>
          <xdr:cNvSpPr/>
        </xdr:nvSpPr>
        <xdr:spPr>
          <a:xfrm>
            <a:off x="293914" y="130628"/>
            <a:ext cx="2527935" cy="465667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List&lt;Product&gt; matchingProducts = new ArrayList&lt;&gt;();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29" name="Romb 6228">
            <a:extLst>
              <a:ext uri="{FF2B5EF4-FFF2-40B4-BE49-F238E27FC236}">
                <a16:creationId xmlns:a16="http://schemas.microsoft.com/office/drawing/2014/main" id="{287DFD75-F4C1-8D87-85A8-CCED51369DB4}"/>
              </a:ext>
            </a:extLst>
          </xdr:cNvPr>
          <xdr:cNvSpPr/>
        </xdr:nvSpPr>
        <xdr:spPr>
          <a:xfrm>
            <a:off x="255814" y="922564"/>
            <a:ext cx="2528887" cy="839932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1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categorie == null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0" name="Romb 6229">
            <a:extLst>
              <a:ext uri="{FF2B5EF4-FFF2-40B4-BE49-F238E27FC236}">
                <a16:creationId xmlns:a16="http://schemas.microsoft.com/office/drawing/2014/main" id="{FD859FCA-A98E-91EA-B2A1-D01E22427719}"/>
              </a:ext>
            </a:extLst>
          </xdr:cNvPr>
          <xdr:cNvSpPr/>
        </xdr:nvSpPr>
        <xdr:spPr>
          <a:xfrm>
            <a:off x="3869871" y="737507"/>
            <a:ext cx="2831234" cy="906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categorie == CategorieBautura.ALL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1" name="Dreptunghi 6230">
            <a:extLst>
              <a:ext uri="{FF2B5EF4-FFF2-40B4-BE49-F238E27FC236}">
                <a16:creationId xmlns:a16="http://schemas.microsoft.com/office/drawing/2014/main" id="{C060596C-E965-98D1-67D0-5C8B478C1F86}"/>
              </a:ext>
            </a:extLst>
          </xdr:cNvPr>
          <xdr:cNvSpPr/>
        </xdr:nvSpPr>
        <xdr:spPr>
          <a:xfrm>
            <a:off x="2057400" y="2362200"/>
            <a:ext cx="1406237" cy="505691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matchingProducts = getAllProducts();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2" name="Dreptunghi 6231">
            <a:extLst>
              <a:ext uri="{FF2B5EF4-FFF2-40B4-BE49-F238E27FC236}">
                <a16:creationId xmlns:a16="http://schemas.microsoft.com/office/drawing/2014/main" id="{7787D3F7-40EC-C89F-3ED0-13209CA3C0A8}"/>
              </a:ext>
            </a:extLst>
          </xdr:cNvPr>
          <xdr:cNvSpPr/>
        </xdr:nvSpPr>
        <xdr:spPr>
          <a:xfrm>
            <a:off x="5181600" y="2013857"/>
            <a:ext cx="2369128" cy="297873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var allProducts = getAllProducts();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3" name="Dreptunghi 6232">
            <a:extLst>
              <a:ext uri="{FF2B5EF4-FFF2-40B4-BE49-F238E27FC236}">
                <a16:creationId xmlns:a16="http://schemas.microsoft.com/office/drawing/2014/main" id="{C0289808-3D36-2A5F-A655-D7CB7FD7BD3F}"/>
              </a:ext>
            </a:extLst>
          </xdr:cNvPr>
          <xdr:cNvSpPr/>
        </xdr:nvSpPr>
        <xdr:spPr>
          <a:xfrm>
            <a:off x="5312228" y="2754086"/>
            <a:ext cx="2147454" cy="554182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var product = new Product(0, null, 0.0, null, null);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4" name="Romb 6233">
            <a:extLst>
              <a:ext uri="{FF2B5EF4-FFF2-40B4-BE49-F238E27FC236}">
                <a16:creationId xmlns:a16="http://schemas.microsoft.com/office/drawing/2014/main" id="{CD516D25-4B4C-2649-CA8E-9F486CDE27E5}"/>
              </a:ext>
            </a:extLst>
          </xdr:cNvPr>
          <xdr:cNvSpPr/>
        </xdr:nvSpPr>
        <xdr:spPr>
          <a:xfrm>
            <a:off x="2737757" y="3948793"/>
            <a:ext cx="2890405" cy="943840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allProducts.isEmpty() 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5" name="Dreptunghi 6234">
            <a:extLst>
              <a:ext uri="{FF2B5EF4-FFF2-40B4-BE49-F238E27FC236}">
                <a16:creationId xmlns:a16="http://schemas.microsoft.com/office/drawing/2014/main" id="{1CABB8A0-B0E9-C852-AB8C-C3E9DC6558E5}"/>
              </a:ext>
            </a:extLst>
          </xdr:cNvPr>
          <xdr:cNvSpPr/>
        </xdr:nvSpPr>
        <xdr:spPr>
          <a:xfrm>
            <a:off x="5050971" y="4865914"/>
            <a:ext cx="2019300" cy="553720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product = allProducts.removeFirst()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6" name="Romb 6235">
            <a:extLst>
              <a:ext uri="{FF2B5EF4-FFF2-40B4-BE49-F238E27FC236}">
                <a16:creationId xmlns:a16="http://schemas.microsoft.com/office/drawing/2014/main" id="{5DE9EB3F-904A-2B9B-3482-EC26154C599C}"/>
              </a:ext>
            </a:extLst>
          </xdr:cNvPr>
          <xdr:cNvSpPr/>
        </xdr:nvSpPr>
        <xdr:spPr>
          <a:xfrm>
            <a:off x="3848100" y="5690507"/>
            <a:ext cx="2890405" cy="943840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product.getCategorie() == categorie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7" name="Dreptunghi 6236">
            <a:extLst>
              <a:ext uri="{FF2B5EF4-FFF2-40B4-BE49-F238E27FC236}">
                <a16:creationId xmlns:a16="http://schemas.microsoft.com/office/drawing/2014/main" id="{73EB29CD-859F-7376-BB2B-564420EF4BCE}"/>
              </a:ext>
            </a:extLst>
          </xdr:cNvPr>
          <xdr:cNvSpPr/>
        </xdr:nvSpPr>
        <xdr:spPr>
          <a:xfrm>
            <a:off x="5388428" y="6955971"/>
            <a:ext cx="2147454" cy="401781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matchingProducts.add(product);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38" name="Dreptunghi 6237">
            <a:extLst>
              <a:ext uri="{FF2B5EF4-FFF2-40B4-BE49-F238E27FC236}">
                <a16:creationId xmlns:a16="http://schemas.microsoft.com/office/drawing/2014/main" id="{A0CC77C9-91F6-8E21-918C-41F80C5BDF1E}"/>
              </a:ext>
            </a:extLst>
          </xdr:cNvPr>
          <xdr:cNvSpPr/>
        </xdr:nvSpPr>
        <xdr:spPr>
          <a:xfrm>
            <a:off x="217714" y="5475514"/>
            <a:ext cx="2147454" cy="401781"/>
          </a:xfrm>
          <a:prstGeom prst="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solidFill>
                  <a:srgbClr val="000000"/>
                </a:solidFill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return matchingProducts;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000" kern="100">
                <a:effectLst/>
                <a:ea typeface="Aptos" panose="020B0004020202020204" pitchFamily="34" charset="0"/>
                <a:cs typeface="Times New Roman" panose="02020603050405020304" pitchFamily="18" charset="0"/>
              </a:rPr>
              <a:t> </a:t>
            </a:r>
            <a:endPara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6239" name="Conector: cotit 6238">
            <a:extLst>
              <a:ext uri="{FF2B5EF4-FFF2-40B4-BE49-F238E27FC236}">
                <a16:creationId xmlns:a16="http://schemas.microsoft.com/office/drawing/2014/main" id="{85535872-0484-7BCE-A1B2-4AB4FCE43011}"/>
              </a:ext>
            </a:extLst>
          </xdr:cNvPr>
          <xdr:cNvCxnSpPr/>
        </xdr:nvCxnSpPr>
        <xdr:spPr>
          <a:xfrm flipV="1">
            <a:off x="2764971" y="751114"/>
            <a:ext cx="2528454" cy="588645"/>
          </a:xfrm>
          <a:prstGeom prst="bentConnector3">
            <a:avLst>
              <a:gd name="adj1" fmla="val 50000"/>
            </a:avLst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40" name="Conector drept cu săgeată 6239">
            <a:extLst>
              <a:ext uri="{FF2B5EF4-FFF2-40B4-BE49-F238E27FC236}">
                <a16:creationId xmlns:a16="http://schemas.microsoft.com/office/drawing/2014/main" id="{84D4709F-C3C3-3DB9-F1EA-888C3968AAD8}"/>
              </a:ext>
            </a:extLst>
          </xdr:cNvPr>
          <xdr:cNvCxnSpPr/>
        </xdr:nvCxnSpPr>
        <xdr:spPr>
          <a:xfrm>
            <a:off x="5584371" y="4430486"/>
            <a:ext cx="568036" cy="456969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41" name="Conector drept cu săgeată 6240">
            <a:extLst>
              <a:ext uri="{FF2B5EF4-FFF2-40B4-BE49-F238E27FC236}">
                <a16:creationId xmlns:a16="http://schemas.microsoft.com/office/drawing/2014/main" id="{7E97197F-808D-4E3C-29CF-E25A562FFC90}"/>
              </a:ext>
            </a:extLst>
          </xdr:cNvPr>
          <xdr:cNvCxnSpPr/>
        </xdr:nvCxnSpPr>
        <xdr:spPr>
          <a:xfrm flipH="1">
            <a:off x="5317671" y="5421086"/>
            <a:ext cx="875723" cy="268432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42" name="Conector drept cu săgeată 6241">
            <a:extLst>
              <a:ext uri="{FF2B5EF4-FFF2-40B4-BE49-F238E27FC236}">
                <a16:creationId xmlns:a16="http://schemas.microsoft.com/office/drawing/2014/main" id="{4DA0BADB-387B-579C-5DC1-DE922A4D49C2}"/>
              </a:ext>
            </a:extLst>
          </xdr:cNvPr>
          <xdr:cNvCxnSpPr/>
        </xdr:nvCxnSpPr>
        <xdr:spPr>
          <a:xfrm flipH="1">
            <a:off x="6585857" y="6150428"/>
            <a:ext cx="135081" cy="831099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grpSp>
        <xdr:nvGrpSpPr>
          <xdr:cNvPr id="6243" name="Grupare 6242">
            <a:extLst>
              <a:ext uri="{FF2B5EF4-FFF2-40B4-BE49-F238E27FC236}">
                <a16:creationId xmlns:a16="http://schemas.microsoft.com/office/drawing/2014/main" id="{877081AF-394F-78DF-0C0E-E25935AAC398}"/>
              </a:ext>
            </a:extLst>
          </xdr:cNvPr>
          <xdr:cNvGrpSpPr/>
        </xdr:nvGrpSpPr>
        <xdr:grpSpPr>
          <a:xfrm>
            <a:off x="4182961" y="4892632"/>
            <a:ext cx="2351932" cy="2966359"/>
            <a:chOff x="-1091167" y="-1736768"/>
            <a:chExt cx="2351932" cy="2966359"/>
          </a:xfrm>
        </xdr:grpSpPr>
        <xdr:cxnSp macro="">
          <xdr:nvCxnSpPr>
            <xdr:cNvPr id="6278" name="Conector: cotit 6277">
              <a:extLst>
                <a:ext uri="{FF2B5EF4-FFF2-40B4-BE49-F238E27FC236}">
                  <a16:creationId xmlns:a16="http://schemas.microsoft.com/office/drawing/2014/main" id="{7F235347-DE04-E912-8123-EE40170F399D}"/>
                </a:ext>
              </a:extLst>
            </xdr:cNvPr>
            <xdr:cNvCxnSpPr>
              <a:endCxn id="6234" idx="2"/>
            </xdr:cNvCxnSpPr>
          </xdr:nvCxnSpPr>
          <xdr:spPr>
            <a:xfrm rot="16200000" flipV="1">
              <a:off x="-1394918" y="-1433017"/>
              <a:ext cx="2959433" cy="2351932"/>
            </a:xfrm>
            <a:prstGeom prst="bentConnector3">
              <a:avLst>
                <a:gd name="adj1" fmla="val 219"/>
              </a:avLst>
            </a:prstGeom>
            <a:ln w="19050" cap="flat" cmpd="sng" algn="ctr">
              <a:solidFill>
                <a:schemeClr val="dk1"/>
              </a:solidFill>
              <a:prstDash val="solid"/>
              <a:round/>
              <a:headEnd type="none" w="med" len="med"/>
              <a:tailEnd type="arrow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6279" name="Conector drept 6278">
              <a:extLst>
                <a:ext uri="{FF2B5EF4-FFF2-40B4-BE49-F238E27FC236}">
                  <a16:creationId xmlns:a16="http://schemas.microsoft.com/office/drawing/2014/main" id="{741283BC-1474-D2C0-3E2C-3243658C1474}"/>
                </a:ext>
              </a:extLst>
            </xdr:cNvPr>
            <xdr:cNvCxnSpPr/>
          </xdr:nvCxnSpPr>
          <xdr:spPr>
            <a:xfrm flipV="1">
              <a:off x="1260764" y="730828"/>
              <a:ext cx="0" cy="498763"/>
            </a:xfrm>
            <a:prstGeom prst="line">
              <a:avLst/>
            </a:prstGeom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6244" name="Conector drept cu săgeată 6243">
            <a:extLst>
              <a:ext uri="{FF2B5EF4-FFF2-40B4-BE49-F238E27FC236}">
                <a16:creationId xmlns:a16="http://schemas.microsoft.com/office/drawing/2014/main" id="{C9032EA5-EF54-3632-2D6A-7DAE7F28DC0B}"/>
              </a:ext>
            </a:extLst>
          </xdr:cNvPr>
          <xdr:cNvCxnSpPr/>
        </xdr:nvCxnSpPr>
        <xdr:spPr>
          <a:xfrm flipV="1">
            <a:off x="3842657" y="4893128"/>
            <a:ext cx="308264" cy="1260591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45" name="Schemă logică: conector 6244">
            <a:extLst>
              <a:ext uri="{FF2B5EF4-FFF2-40B4-BE49-F238E27FC236}">
                <a16:creationId xmlns:a16="http://schemas.microsoft.com/office/drawing/2014/main" id="{A2649748-5669-E599-9596-E84687ED1079}"/>
              </a:ext>
            </a:extLst>
          </xdr:cNvPr>
          <xdr:cNvSpPr/>
        </xdr:nvSpPr>
        <xdr:spPr>
          <a:xfrm>
            <a:off x="0" y="3570514"/>
            <a:ext cx="508000" cy="482600"/>
          </a:xfrm>
          <a:prstGeom prst="flowChartConnector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cxnSp macro="">
        <xdr:nvCxnSpPr>
          <xdr:cNvPr id="6246" name="Conector drept cu săgeată 6245">
            <a:extLst>
              <a:ext uri="{FF2B5EF4-FFF2-40B4-BE49-F238E27FC236}">
                <a16:creationId xmlns:a16="http://schemas.microsoft.com/office/drawing/2014/main" id="{E7B0AD24-C07B-D6F4-3035-2767496874BF}"/>
              </a:ext>
            </a:extLst>
          </xdr:cNvPr>
          <xdr:cNvCxnSpPr/>
        </xdr:nvCxnSpPr>
        <xdr:spPr>
          <a:xfrm>
            <a:off x="1510393" y="587828"/>
            <a:ext cx="0" cy="347663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47" name="Casetă text 33">
            <a:extLst>
              <a:ext uri="{FF2B5EF4-FFF2-40B4-BE49-F238E27FC236}">
                <a16:creationId xmlns:a16="http://schemas.microsoft.com/office/drawing/2014/main" id="{3EECE903-5322-6D09-10B2-180D04CCE08A}"/>
              </a:ext>
            </a:extLst>
          </xdr:cNvPr>
          <xdr:cNvSpPr txBox="1"/>
        </xdr:nvSpPr>
        <xdr:spPr>
          <a:xfrm>
            <a:off x="2873828" y="0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1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48" name="Casetă text 33">
            <a:extLst>
              <a:ext uri="{FF2B5EF4-FFF2-40B4-BE49-F238E27FC236}">
                <a16:creationId xmlns:a16="http://schemas.microsoft.com/office/drawing/2014/main" id="{A86D283D-CF73-08AC-B495-F4CDB7F9E501}"/>
              </a:ext>
            </a:extLst>
          </xdr:cNvPr>
          <xdr:cNvSpPr txBox="1"/>
        </xdr:nvSpPr>
        <xdr:spPr>
          <a:xfrm>
            <a:off x="2405743" y="936171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2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49" name="Casetă text 33">
            <a:extLst>
              <a:ext uri="{FF2B5EF4-FFF2-40B4-BE49-F238E27FC236}">
                <a16:creationId xmlns:a16="http://schemas.microsoft.com/office/drawing/2014/main" id="{F92381BA-5C0E-64CC-DE9D-29276683F4D1}"/>
              </a:ext>
            </a:extLst>
          </xdr:cNvPr>
          <xdr:cNvSpPr txBox="1"/>
        </xdr:nvSpPr>
        <xdr:spPr>
          <a:xfrm>
            <a:off x="348343" y="3483428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3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0" name="Casetă text 33">
            <a:extLst>
              <a:ext uri="{FF2B5EF4-FFF2-40B4-BE49-F238E27FC236}">
                <a16:creationId xmlns:a16="http://schemas.microsoft.com/office/drawing/2014/main" id="{A4E86733-253E-3CEA-3C6B-42BA4C1277CC}"/>
              </a:ext>
            </a:extLst>
          </xdr:cNvPr>
          <xdr:cNvSpPr txBox="1"/>
        </xdr:nvSpPr>
        <xdr:spPr>
          <a:xfrm>
            <a:off x="5617028" y="609600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4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1" name="Casetă text 33">
            <a:extLst>
              <a:ext uri="{FF2B5EF4-FFF2-40B4-BE49-F238E27FC236}">
                <a16:creationId xmlns:a16="http://schemas.microsoft.com/office/drawing/2014/main" id="{C569B150-A1A9-0E60-E8B7-A7A32FECD032}"/>
              </a:ext>
            </a:extLst>
          </xdr:cNvPr>
          <xdr:cNvSpPr txBox="1"/>
        </xdr:nvSpPr>
        <xdr:spPr>
          <a:xfrm>
            <a:off x="3374571" y="2177143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5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2" name="Casetă text 33">
            <a:extLst>
              <a:ext uri="{FF2B5EF4-FFF2-40B4-BE49-F238E27FC236}">
                <a16:creationId xmlns:a16="http://schemas.microsoft.com/office/drawing/2014/main" id="{75534FF0-DEC7-729D-BE12-CDC4CD90D9DD}"/>
              </a:ext>
            </a:extLst>
          </xdr:cNvPr>
          <xdr:cNvSpPr txBox="1"/>
        </xdr:nvSpPr>
        <xdr:spPr>
          <a:xfrm>
            <a:off x="7380514" y="1850571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6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3" name="Casetă text 33">
            <a:extLst>
              <a:ext uri="{FF2B5EF4-FFF2-40B4-BE49-F238E27FC236}">
                <a16:creationId xmlns:a16="http://schemas.microsoft.com/office/drawing/2014/main" id="{EC048662-91D5-69C4-D975-503C48012728}"/>
              </a:ext>
            </a:extLst>
          </xdr:cNvPr>
          <xdr:cNvSpPr txBox="1"/>
        </xdr:nvSpPr>
        <xdr:spPr>
          <a:xfrm>
            <a:off x="7336971" y="2623457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7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4" name="Casetă text 33">
            <a:extLst>
              <a:ext uri="{FF2B5EF4-FFF2-40B4-BE49-F238E27FC236}">
                <a16:creationId xmlns:a16="http://schemas.microsoft.com/office/drawing/2014/main" id="{605C759E-7FA9-8C12-9DF3-E428859CA239}"/>
              </a:ext>
            </a:extLst>
          </xdr:cNvPr>
          <xdr:cNvSpPr txBox="1"/>
        </xdr:nvSpPr>
        <xdr:spPr>
          <a:xfrm>
            <a:off x="5214257" y="4136571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8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5" name="Casetă text 33">
            <a:extLst>
              <a:ext uri="{FF2B5EF4-FFF2-40B4-BE49-F238E27FC236}">
                <a16:creationId xmlns:a16="http://schemas.microsoft.com/office/drawing/2014/main" id="{50D6776C-70F0-260B-4994-28C2422DC64A}"/>
              </a:ext>
            </a:extLst>
          </xdr:cNvPr>
          <xdr:cNvSpPr txBox="1"/>
        </xdr:nvSpPr>
        <xdr:spPr>
          <a:xfrm>
            <a:off x="6945086" y="4680857"/>
            <a:ext cx="22860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9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6" name="Casetă text 33">
            <a:extLst>
              <a:ext uri="{FF2B5EF4-FFF2-40B4-BE49-F238E27FC236}">
                <a16:creationId xmlns:a16="http://schemas.microsoft.com/office/drawing/2014/main" id="{1104E9F1-0019-8F8B-6D6B-5AD34562FA70}"/>
              </a:ext>
            </a:extLst>
          </xdr:cNvPr>
          <xdr:cNvSpPr txBox="1"/>
        </xdr:nvSpPr>
        <xdr:spPr>
          <a:xfrm>
            <a:off x="6074228" y="5747657"/>
            <a:ext cx="36576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10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7" name="Casetă text 33">
            <a:extLst>
              <a:ext uri="{FF2B5EF4-FFF2-40B4-BE49-F238E27FC236}">
                <a16:creationId xmlns:a16="http://schemas.microsoft.com/office/drawing/2014/main" id="{8B2F8AF1-63F3-C6A6-75D3-B1D594B4458C}"/>
              </a:ext>
            </a:extLst>
          </xdr:cNvPr>
          <xdr:cNvSpPr txBox="1"/>
        </xdr:nvSpPr>
        <xdr:spPr>
          <a:xfrm>
            <a:off x="6999514" y="6727371"/>
            <a:ext cx="36576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11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58" name="Schemă logică: conector 6257">
            <a:extLst>
              <a:ext uri="{FF2B5EF4-FFF2-40B4-BE49-F238E27FC236}">
                <a16:creationId xmlns:a16="http://schemas.microsoft.com/office/drawing/2014/main" id="{459B7ADE-EE6D-AD6D-DDAD-D9B48C95DCE8}"/>
              </a:ext>
            </a:extLst>
          </xdr:cNvPr>
          <xdr:cNvSpPr/>
        </xdr:nvSpPr>
        <xdr:spPr>
          <a:xfrm>
            <a:off x="1186543" y="4147457"/>
            <a:ext cx="508000" cy="482600"/>
          </a:xfrm>
          <a:prstGeom prst="flowChartConnector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259" name="Casetă text 33">
            <a:extLst>
              <a:ext uri="{FF2B5EF4-FFF2-40B4-BE49-F238E27FC236}">
                <a16:creationId xmlns:a16="http://schemas.microsoft.com/office/drawing/2014/main" id="{C6B0B5A6-A168-153E-C8E8-82C43AAE9B39}"/>
              </a:ext>
            </a:extLst>
          </xdr:cNvPr>
          <xdr:cNvSpPr txBox="1"/>
        </xdr:nvSpPr>
        <xdr:spPr>
          <a:xfrm>
            <a:off x="1545771" y="3962400"/>
            <a:ext cx="36576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12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60" name="Casetă text 33">
            <a:extLst>
              <a:ext uri="{FF2B5EF4-FFF2-40B4-BE49-F238E27FC236}">
                <a16:creationId xmlns:a16="http://schemas.microsoft.com/office/drawing/2014/main" id="{3EF3C009-FEBE-CBE6-6DAA-80BDFA576716}"/>
              </a:ext>
            </a:extLst>
          </xdr:cNvPr>
          <xdr:cNvSpPr txBox="1"/>
        </xdr:nvSpPr>
        <xdr:spPr>
          <a:xfrm>
            <a:off x="2198914" y="5290457"/>
            <a:ext cx="365760" cy="281940"/>
          </a:xfrm>
          <a:prstGeom prst="rect">
            <a:avLst/>
          </a:prstGeom>
          <a:solidFill>
            <a:schemeClr val="lt1"/>
          </a:solidFill>
          <a:ln w="6350">
            <a:solidFill>
              <a:prstClr val="black"/>
            </a:solidFill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13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6261" name="Conector drept cu săgeată 6260">
            <a:extLst>
              <a:ext uri="{FF2B5EF4-FFF2-40B4-BE49-F238E27FC236}">
                <a16:creationId xmlns:a16="http://schemas.microsoft.com/office/drawing/2014/main" id="{7E12A5C6-70CB-32DE-0805-50B7FAB7A109}"/>
              </a:ext>
            </a:extLst>
          </xdr:cNvPr>
          <xdr:cNvCxnSpPr/>
        </xdr:nvCxnSpPr>
        <xdr:spPr>
          <a:xfrm flipH="1">
            <a:off x="236764" y="1360714"/>
            <a:ext cx="15240" cy="225552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2" name="Conector drept cu săgeată 6261">
            <a:extLst>
              <a:ext uri="{FF2B5EF4-FFF2-40B4-BE49-F238E27FC236}">
                <a16:creationId xmlns:a16="http://schemas.microsoft.com/office/drawing/2014/main" id="{D9AD514B-3831-2209-B818-9738CBA661C9}"/>
              </a:ext>
            </a:extLst>
          </xdr:cNvPr>
          <xdr:cNvCxnSpPr/>
        </xdr:nvCxnSpPr>
        <xdr:spPr>
          <a:xfrm flipH="1">
            <a:off x="2770414" y="1197428"/>
            <a:ext cx="1112520" cy="117348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3" name="Conector drept cu săgeată 6262">
            <a:extLst>
              <a:ext uri="{FF2B5EF4-FFF2-40B4-BE49-F238E27FC236}">
                <a16:creationId xmlns:a16="http://schemas.microsoft.com/office/drawing/2014/main" id="{22F53473-0802-357D-7B65-EB4D4C124A47}"/>
              </a:ext>
            </a:extLst>
          </xdr:cNvPr>
          <xdr:cNvCxnSpPr/>
        </xdr:nvCxnSpPr>
        <xdr:spPr>
          <a:xfrm>
            <a:off x="6724650" y="1197428"/>
            <a:ext cx="0" cy="85344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4" name="Conector drept cu săgeată 6263">
            <a:extLst>
              <a:ext uri="{FF2B5EF4-FFF2-40B4-BE49-F238E27FC236}">
                <a16:creationId xmlns:a16="http://schemas.microsoft.com/office/drawing/2014/main" id="{A3FF5F21-291E-9357-470C-40F92CB0C113}"/>
              </a:ext>
            </a:extLst>
          </xdr:cNvPr>
          <xdr:cNvCxnSpPr/>
        </xdr:nvCxnSpPr>
        <xdr:spPr>
          <a:xfrm>
            <a:off x="6387193" y="2318657"/>
            <a:ext cx="0" cy="464185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5" name="Conector drept cu săgeată 6264">
            <a:extLst>
              <a:ext uri="{FF2B5EF4-FFF2-40B4-BE49-F238E27FC236}">
                <a16:creationId xmlns:a16="http://schemas.microsoft.com/office/drawing/2014/main" id="{38B9879B-02CC-C2FB-8A09-7E4F54B62A9E}"/>
              </a:ext>
            </a:extLst>
          </xdr:cNvPr>
          <xdr:cNvCxnSpPr/>
        </xdr:nvCxnSpPr>
        <xdr:spPr>
          <a:xfrm flipH="1">
            <a:off x="4166507" y="3331028"/>
            <a:ext cx="2225040" cy="62484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6" name="Conector drept cu săgeată 6265">
            <a:extLst>
              <a:ext uri="{FF2B5EF4-FFF2-40B4-BE49-F238E27FC236}">
                <a16:creationId xmlns:a16="http://schemas.microsoft.com/office/drawing/2014/main" id="{DE8FB695-C684-787C-C14A-7A1DA96AED12}"/>
              </a:ext>
            </a:extLst>
          </xdr:cNvPr>
          <xdr:cNvCxnSpPr/>
        </xdr:nvCxnSpPr>
        <xdr:spPr>
          <a:xfrm flipH="1">
            <a:off x="1453243" y="2884714"/>
            <a:ext cx="1310640" cy="128778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7" name="Conector drept cu săgeată 6266">
            <a:extLst>
              <a:ext uri="{FF2B5EF4-FFF2-40B4-BE49-F238E27FC236}">
                <a16:creationId xmlns:a16="http://schemas.microsoft.com/office/drawing/2014/main" id="{EA66EE46-BC7A-A063-D836-1F89298EC156}"/>
              </a:ext>
            </a:extLst>
          </xdr:cNvPr>
          <xdr:cNvCxnSpPr/>
        </xdr:nvCxnSpPr>
        <xdr:spPr>
          <a:xfrm flipH="1" flipV="1">
            <a:off x="1660071" y="4397828"/>
            <a:ext cx="1082040" cy="2286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8" name="Conector drept cu săgeată 6267">
            <a:extLst>
              <a:ext uri="{FF2B5EF4-FFF2-40B4-BE49-F238E27FC236}">
                <a16:creationId xmlns:a16="http://schemas.microsoft.com/office/drawing/2014/main" id="{F4DE0BB7-65AA-45BC-D8FC-E25CB96B7D2E}"/>
              </a:ext>
            </a:extLst>
          </xdr:cNvPr>
          <xdr:cNvCxnSpPr/>
        </xdr:nvCxnSpPr>
        <xdr:spPr>
          <a:xfrm>
            <a:off x="250371" y="4060371"/>
            <a:ext cx="929640" cy="143764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6269" name="Conector drept cu săgeată 6268">
            <a:extLst>
              <a:ext uri="{FF2B5EF4-FFF2-40B4-BE49-F238E27FC236}">
                <a16:creationId xmlns:a16="http://schemas.microsoft.com/office/drawing/2014/main" id="{1D0ECFF4-86D7-F28F-A4DB-9E7EEC680929}"/>
              </a:ext>
            </a:extLst>
          </xdr:cNvPr>
          <xdr:cNvCxnSpPr/>
        </xdr:nvCxnSpPr>
        <xdr:spPr>
          <a:xfrm flipH="1">
            <a:off x="1360714" y="4615543"/>
            <a:ext cx="68580" cy="891540"/>
          </a:xfrm>
          <a:prstGeom prst="straightConnector1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270" name="Casetă text 49">
            <a:extLst>
              <a:ext uri="{FF2B5EF4-FFF2-40B4-BE49-F238E27FC236}">
                <a16:creationId xmlns:a16="http://schemas.microsoft.com/office/drawing/2014/main" id="{06677048-ADB5-8704-79F0-41C57AAD1D0A}"/>
              </a:ext>
            </a:extLst>
          </xdr:cNvPr>
          <xdr:cNvSpPr txBox="1"/>
        </xdr:nvSpPr>
        <xdr:spPr>
          <a:xfrm>
            <a:off x="2710447" y="1088539"/>
            <a:ext cx="269240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F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1" name="Casetă text 49">
            <a:extLst>
              <a:ext uri="{FF2B5EF4-FFF2-40B4-BE49-F238E27FC236}">
                <a16:creationId xmlns:a16="http://schemas.microsoft.com/office/drawing/2014/main" id="{1BDC18A2-DD2C-3C26-6AA8-84E1982AB245}"/>
              </a:ext>
            </a:extLst>
          </xdr:cNvPr>
          <xdr:cNvSpPr txBox="1"/>
        </xdr:nvSpPr>
        <xdr:spPr>
          <a:xfrm>
            <a:off x="6465884" y="870831"/>
            <a:ext cx="269240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F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2" name="Casetă text 49">
            <a:extLst>
              <a:ext uri="{FF2B5EF4-FFF2-40B4-BE49-F238E27FC236}">
                <a16:creationId xmlns:a16="http://schemas.microsoft.com/office/drawing/2014/main" id="{35CCD173-7304-74B9-E569-3A5D7131C354}"/>
              </a:ext>
            </a:extLst>
          </xdr:cNvPr>
          <xdr:cNvSpPr txBox="1"/>
        </xdr:nvSpPr>
        <xdr:spPr>
          <a:xfrm>
            <a:off x="5540631" y="4114679"/>
            <a:ext cx="269240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F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3" name="Casetă text 49">
            <a:extLst>
              <a:ext uri="{FF2B5EF4-FFF2-40B4-BE49-F238E27FC236}">
                <a16:creationId xmlns:a16="http://schemas.microsoft.com/office/drawing/2014/main" id="{8B1808FA-EAD0-734C-0201-1FD5D83F770D}"/>
              </a:ext>
            </a:extLst>
          </xdr:cNvPr>
          <xdr:cNvSpPr txBox="1"/>
        </xdr:nvSpPr>
        <xdr:spPr>
          <a:xfrm>
            <a:off x="3635699" y="5921654"/>
            <a:ext cx="269240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F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4" name="Casetă text 49">
            <a:extLst>
              <a:ext uri="{FF2B5EF4-FFF2-40B4-BE49-F238E27FC236}">
                <a16:creationId xmlns:a16="http://schemas.microsoft.com/office/drawing/2014/main" id="{62D85D7A-396F-DD67-E551-EB79C5B32918}"/>
              </a:ext>
            </a:extLst>
          </xdr:cNvPr>
          <xdr:cNvSpPr txBox="1"/>
        </xdr:nvSpPr>
        <xdr:spPr>
          <a:xfrm>
            <a:off x="97968" y="1077654"/>
            <a:ext cx="262255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T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5" name="Casetă text 49">
            <a:extLst>
              <a:ext uri="{FF2B5EF4-FFF2-40B4-BE49-F238E27FC236}">
                <a16:creationId xmlns:a16="http://schemas.microsoft.com/office/drawing/2014/main" id="{4BD0E461-FC62-F89B-A1A4-C7533112AF52}"/>
              </a:ext>
            </a:extLst>
          </xdr:cNvPr>
          <xdr:cNvSpPr txBox="1"/>
        </xdr:nvSpPr>
        <xdr:spPr>
          <a:xfrm>
            <a:off x="3701011" y="914373"/>
            <a:ext cx="262255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T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6" name="Casetă text 49">
            <a:extLst>
              <a:ext uri="{FF2B5EF4-FFF2-40B4-BE49-F238E27FC236}">
                <a16:creationId xmlns:a16="http://schemas.microsoft.com/office/drawing/2014/main" id="{D8828FF3-2B0E-D58D-4501-73F4A461797F}"/>
              </a:ext>
            </a:extLst>
          </xdr:cNvPr>
          <xdr:cNvSpPr txBox="1"/>
        </xdr:nvSpPr>
        <xdr:spPr>
          <a:xfrm>
            <a:off x="2612478" y="4158221"/>
            <a:ext cx="262255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T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77" name="Casetă text 49">
            <a:extLst>
              <a:ext uri="{FF2B5EF4-FFF2-40B4-BE49-F238E27FC236}">
                <a16:creationId xmlns:a16="http://schemas.microsoft.com/office/drawing/2014/main" id="{F28E52A3-0F78-7978-5757-DA65283F6987}"/>
              </a:ext>
            </a:extLst>
          </xdr:cNvPr>
          <xdr:cNvSpPr txBox="1"/>
        </xdr:nvSpPr>
        <xdr:spPr>
          <a:xfrm>
            <a:off x="6738018" y="5954311"/>
            <a:ext cx="262255" cy="298450"/>
          </a:xfrm>
          <a:prstGeom prst="rect">
            <a:avLst/>
          </a:prstGeom>
          <a:noFill/>
          <a:ln w="6350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15000"/>
              </a:lnSpc>
              <a:spcAft>
                <a:spcPts val="800"/>
              </a:spcAft>
              <a:buNone/>
            </a:pPr>
            <a:r>
              <a:rPr lang="ro-RO" sz="1200" kern="100">
                <a:effectLst/>
                <a:latin typeface="Aptos" panose="020B00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T</a:t>
            </a:r>
            <a:endParaRPr lang="en-US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M12" sqref="M12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2"/>
      <c r="D1" s="52" t="s">
        <v>0</v>
      </c>
      <c r="E1" s="53"/>
      <c r="F1" s="53"/>
      <c r="G1" s="54"/>
    </row>
    <row r="2" spans="2:16" x14ac:dyDescent="0.3">
      <c r="B2" s="27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5" t="s">
        <v>5</v>
      </c>
      <c r="O5" s="25"/>
      <c r="P5" s="25"/>
    </row>
    <row r="6" spans="2:16" x14ac:dyDescent="0.3">
      <c r="B6" s="1" t="s">
        <v>6</v>
      </c>
      <c r="N6" s="19"/>
      <c r="O6" s="19" t="s">
        <v>7</v>
      </c>
      <c r="P6" s="19" t="s">
        <v>8</v>
      </c>
    </row>
    <row r="7" spans="2:16" x14ac:dyDescent="0.3">
      <c r="B7" s="1"/>
      <c r="C7" s="1"/>
      <c r="D7" s="1"/>
      <c r="E7" s="1"/>
      <c r="N7" s="19" t="s">
        <v>9</v>
      </c>
      <c r="O7" s="19"/>
      <c r="P7" s="19"/>
    </row>
    <row r="8" spans="2:16" x14ac:dyDescent="0.3">
      <c r="B8" s="1"/>
      <c r="C8" s="1"/>
      <c r="D8" s="1"/>
      <c r="E8" s="1"/>
      <c r="N8" s="19" t="s">
        <v>10</v>
      </c>
      <c r="O8" s="19" t="s">
        <v>88</v>
      </c>
      <c r="P8" s="19">
        <v>231</v>
      </c>
    </row>
    <row r="9" spans="2:16" x14ac:dyDescent="0.3">
      <c r="B9" s="84" t="s">
        <v>85</v>
      </c>
      <c r="C9" s="1"/>
      <c r="D9" s="1"/>
      <c r="E9" s="1"/>
      <c r="N9" s="19" t="s">
        <v>11</v>
      </c>
      <c r="O9" s="19"/>
      <c r="P9" s="19"/>
    </row>
    <row r="10" spans="2:16" x14ac:dyDescent="0.3">
      <c r="B10" s="84" t="s">
        <v>86</v>
      </c>
      <c r="C10" s="1"/>
      <c r="D10" s="1"/>
      <c r="E10" s="1"/>
    </row>
    <row r="11" spans="2:16" x14ac:dyDescent="0.3">
      <c r="B11" s="26" t="s">
        <v>87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Z50"/>
  <sheetViews>
    <sheetView topLeftCell="D7" zoomScale="90" zoomScaleNormal="90" workbookViewId="0">
      <selection activeCell="X20" sqref="X20:Z20"/>
    </sheetView>
  </sheetViews>
  <sheetFormatPr defaultColWidth="8.88671875" defaultRowHeight="14.4" x14ac:dyDescent="0.3"/>
  <cols>
    <col min="2" max="2" width="10" customWidth="1"/>
    <col min="7" max="7" width="11" customWidth="1"/>
    <col min="17" max="17" width="10.5546875" customWidth="1"/>
    <col min="23" max="23" width="12.77734375" customWidth="1"/>
    <col min="24" max="24" width="15.33203125" customWidth="1"/>
    <col min="25" max="25" width="21.21875" customWidth="1"/>
    <col min="26" max="26" width="2.21875" bestFit="1" customWidth="1"/>
  </cols>
  <sheetData>
    <row r="1" spans="2:26" x14ac:dyDescent="0.3">
      <c r="B1" s="12"/>
      <c r="D1" s="52" t="s">
        <v>0</v>
      </c>
      <c r="E1" s="53"/>
      <c r="F1" s="53"/>
      <c r="G1" s="53"/>
      <c r="H1" s="53"/>
      <c r="I1" s="54"/>
    </row>
    <row r="3" spans="2:26" x14ac:dyDescent="0.3">
      <c r="B3" s="72" t="s">
        <v>12</v>
      </c>
      <c r="C3" s="73"/>
      <c r="D3" s="73"/>
      <c r="E3" s="73"/>
      <c r="F3" s="73"/>
      <c r="G3" s="73"/>
      <c r="H3" s="73"/>
      <c r="I3" s="73"/>
      <c r="J3" s="73"/>
      <c r="K3" s="74"/>
    </row>
    <row r="6" spans="2:26" x14ac:dyDescent="0.3">
      <c r="B6" s="78" t="s">
        <v>13</v>
      </c>
      <c r="C6" s="78"/>
      <c r="D6" s="78"/>
      <c r="E6" s="78"/>
      <c r="F6" s="78"/>
      <c r="G6" s="78"/>
      <c r="I6" s="78" t="s">
        <v>14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W6" s="78" t="s">
        <v>15</v>
      </c>
      <c r="X6" s="78"/>
      <c r="Y6" s="78"/>
      <c r="Z6" s="78"/>
    </row>
    <row r="7" spans="2:26" x14ac:dyDescent="0.3">
      <c r="B7" s="76">
        <v>1</v>
      </c>
      <c r="C7" s="70" t="s">
        <v>66</v>
      </c>
      <c r="D7" s="70"/>
      <c r="E7" s="70"/>
      <c r="F7" s="70"/>
      <c r="G7" s="70"/>
    </row>
    <row r="8" spans="2:26" x14ac:dyDescent="0.3">
      <c r="B8" s="76">
        <v>2</v>
      </c>
      <c r="C8" s="70" t="s">
        <v>67</v>
      </c>
      <c r="D8" s="70"/>
      <c r="E8" s="70"/>
      <c r="F8" s="70"/>
      <c r="G8" s="70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W8" s="71" t="s">
        <v>16</v>
      </c>
      <c r="X8" s="71"/>
      <c r="Y8" s="71"/>
      <c r="Z8" s="24">
        <v>5</v>
      </c>
    </row>
    <row r="9" spans="2:26" x14ac:dyDescent="0.3">
      <c r="B9" s="76">
        <v>3</v>
      </c>
      <c r="C9" s="70" t="s">
        <v>68</v>
      </c>
      <c r="D9" s="70"/>
      <c r="E9" s="70"/>
      <c r="F9" s="70"/>
      <c r="G9" s="70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W9" s="71" t="s">
        <v>18</v>
      </c>
      <c r="X9" s="71"/>
      <c r="Y9" s="71"/>
      <c r="Z9" s="24">
        <v>5</v>
      </c>
    </row>
    <row r="10" spans="2:26" x14ac:dyDescent="0.3">
      <c r="B10" s="76">
        <v>4</v>
      </c>
      <c r="C10" s="70" t="s">
        <v>69</v>
      </c>
      <c r="D10" s="70"/>
      <c r="E10" s="70"/>
      <c r="F10" s="70"/>
      <c r="G10" s="70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W10" s="71" t="s">
        <v>19</v>
      </c>
      <c r="X10" s="71" t="s">
        <v>20</v>
      </c>
      <c r="Y10" s="71"/>
      <c r="Z10" s="24">
        <v>5</v>
      </c>
    </row>
    <row r="11" spans="2:26" x14ac:dyDescent="0.3">
      <c r="B11" s="76">
        <v>5</v>
      </c>
      <c r="C11" s="70" t="s">
        <v>70</v>
      </c>
      <c r="D11" s="70"/>
      <c r="E11" s="70"/>
      <c r="F11" s="70"/>
      <c r="G11" s="70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</row>
    <row r="12" spans="2:26" x14ac:dyDescent="0.3">
      <c r="B12" s="76">
        <v>6</v>
      </c>
      <c r="C12" s="70" t="s">
        <v>71</v>
      </c>
      <c r="D12" s="70"/>
      <c r="E12" s="70"/>
      <c r="F12" s="70"/>
      <c r="G12" s="70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</row>
    <row r="13" spans="2:26" x14ac:dyDescent="0.3">
      <c r="B13" s="76">
        <v>7</v>
      </c>
      <c r="C13" s="70" t="s">
        <v>72</v>
      </c>
      <c r="D13" s="70"/>
      <c r="E13" s="70"/>
      <c r="F13" s="70"/>
      <c r="G13" s="70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W13" s="78" t="s">
        <v>22</v>
      </c>
      <c r="X13" s="78"/>
      <c r="Y13" s="78"/>
      <c r="Z13" s="78"/>
    </row>
    <row r="14" spans="2:26" x14ac:dyDescent="0.3">
      <c r="B14" s="76">
        <v>8</v>
      </c>
      <c r="C14" s="77" t="s">
        <v>73</v>
      </c>
      <c r="D14" s="77"/>
      <c r="E14" s="77"/>
      <c r="F14" s="77"/>
      <c r="G14" s="77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</row>
    <row r="15" spans="2:26" x14ac:dyDescent="0.3">
      <c r="B15" s="76">
        <v>9</v>
      </c>
      <c r="C15" s="77" t="s">
        <v>74</v>
      </c>
      <c r="D15" s="77"/>
      <c r="E15" s="77"/>
      <c r="F15" s="77"/>
      <c r="G15" s="77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W15" s="23" t="s">
        <v>23</v>
      </c>
      <c r="X15" s="75" t="s">
        <v>24</v>
      </c>
      <c r="Y15" s="75"/>
      <c r="Z15" s="75"/>
    </row>
    <row r="16" spans="2:26" x14ac:dyDescent="0.3">
      <c r="B16" s="76">
        <v>10</v>
      </c>
      <c r="C16" s="77" t="s">
        <v>75</v>
      </c>
      <c r="D16" s="77"/>
      <c r="E16" s="77"/>
      <c r="F16" s="77"/>
      <c r="G16" s="77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W16" s="25" t="s">
        <v>25</v>
      </c>
      <c r="X16" s="70" t="s">
        <v>84</v>
      </c>
      <c r="Y16" s="70"/>
      <c r="Z16" s="70"/>
    </row>
    <row r="17" spans="2:26" x14ac:dyDescent="0.3">
      <c r="B17" s="76">
        <v>11</v>
      </c>
      <c r="C17" s="77" t="s">
        <v>76</v>
      </c>
      <c r="D17" s="77"/>
      <c r="E17" s="77"/>
      <c r="F17" s="77"/>
      <c r="G17" s="77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W17" s="25" t="s">
        <v>26</v>
      </c>
      <c r="X17" s="70" t="s">
        <v>83</v>
      </c>
      <c r="Y17" s="70"/>
      <c r="Z17" s="70"/>
    </row>
    <row r="18" spans="2:26" x14ac:dyDescent="0.3">
      <c r="B18" s="76">
        <v>12</v>
      </c>
      <c r="C18" s="77" t="s">
        <v>68</v>
      </c>
      <c r="D18" s="77"/>
      <c r="E18" s="77"/>
      <c r="F18" s="77"/>
      <c r="G18" s="77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W18" s="25" t="s">
        <v>27</v>
      </c>
      <c r="X18" s="70" t="s">
        <v>82</v>
      </c>
      <c r="Y18" s="70"/>
      <c r="Z18" s="70"/>
    </row>
    <row r="19" spans="2:26" x14ac:dyDescent="0.3">
      <c r="B19" s="76">
        <v>13</v>
      </c>
      <c r="C19" s="77" t="s">
        <v>77</v>
      </c>
      <c r="D19" s="77"/>
      <c r="E19" s="77"/>
      <c r="F19" s="77"/>
      <c r="G19" s="77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W19" s="25" t="s">
        <v>78</v>
      </c>
      <c r="X19" s="70" t="s">
        <v>81</v>
      </c>
      <c r="Y19" s="70"/>
      <c r="Z19" s="70"/>
    </row>
    <row r="20" spans="2:26" x14ac:dyDescent="0.3"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W20" s="80" t="s">
        <v>79</v>
      </c>
      <c r="X20" s="81" t="s">
        <v>80</v>
      </c>
      <c r="Y20" s="81"/>
      <c r="Z20" s="81"/>
    </row>
    <row r="21" spans="2:26" x14ac:dyDescent="0.3"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W21" s="82"/>
      <c r="X21" s="83"/>
      <c r="Y21" s="83"/>
      <c r="Z21" s="83"/>
    </row>
    <row r="22" spans="2:26" x14ac:dyDescent="0.3"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</row>
    <row r="23" spans="2:26" x14ac:dyDescent="0.3"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</row>
    <row r="24" spans="2:26" x14ac:dyDescent="0.3"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</row>
    <row r="25" spans="2:26" x14ac:dyDescent="0.3"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</row>
    <row r="26" spans="2:26" x14ac:dyDescent="0.3"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</row>
    <row r="27" spans="2:26" x14ac:dyDescent="0.3"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</row>
    <row r="28" spans="2:26" x14ac:dyDescent="0.3"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</row>
    <row r="29" spans="2:26" x14ac:dyDescent="0.3"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</row>
    <row r="30" spans="2:26" x14ac:dyDescent="0.3"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</row>
    <row r="31" spans="2:26" x14ac:dyDescent="0.3"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</row>
    <row r="32" spans="2:26" x14ac:dyDescent="0.3"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</row>
    <row r="33" spans="9:21" x14ac:dyDescent="0.3"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</row>
    <row r="34" spans="9:21" x14ac:dyDescent="0.3"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</row>
    <row r="35" spans="9:21" x14ac:dyDescent="0.3"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</row>
    <row r="36" spans="9:21" x14ac:dyDescent="0.3"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</row>
    <row r="37" spans="9:21" x14ac:dyDescent="0.3"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</row>
    <row r="38" spans="9:21" x14ac:dyDescent="0.3"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</row>
    <row r="39" spans="9:21" x14ac:dyDescent="0.3"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</row>
    <row r="40" spans="9:21" x14ac:dyDescent="0.3"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</row>
    <row r="41" spans="9:21" x14ac:dyDescent="0.3"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</row>
    <row r="42" spans="9:21" x14ac:dyDescent="0.3"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</row>
    <row r="43" spans="9:21" x14ac:dyDescent="0.3"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</row>
    <row r="44" spans="9:21" x14ac:dyDescent="0.3"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</row>
    <row r="45" spans="9:21" x14ac:dyDescent="0.3"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</row>
    <row r="46" spans="9:21" x14ac:dyDescent="0.3"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</row>
    <row r="47" spans="9:21" x14ac:dyDescent="0.3"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</row>
    <row r="48" spans="9:21" x14ac:dyDescent="0.3"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</row>
    <row r="49" spans="9:21" x14ac:dyDescent="0.3"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</row>
    <row r="50" spans="9:21" x14ac:dyDescent="0.3"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</row>
  </sheetData>
  <mergeCells count="29">
    <mergeCell ref="C16:G16"/>
    <mergeCell ref="C17:G17"/>
    <mergeCell ref="C18:G18"/>
    <mergeCell ref="C19:G19"/>
    <mergeCell ref="B6:G6"/>
    <mergeCell ref="I6:U6"/>
    <mergeCell ref="C12:G12"/>
    <mergeCell ref="C13:G13"/>
    <mergeCell ref="C14:G14"/>
    <mergeCell ref="D1:I1"/>
    <mergeCell ref="X20:Z20"/>
    <mergeCell ref="B3:K3"/>
    <mergeCell ref="W10:Y10"/>
    <mergeCell ref="X15:Z15"/>
    <mergeCell ref="W8:Y8"/>
    <mergeCell ref="W6:Z6"/>
    <mergeCell ref="X17:Z17"/>
    <mergeCell ref="X19:Z19"/>
    <mergeCell ref="X18:Z18"/>
    <mergeCell ref="W9:Y9"/>
    <mergeCell ref="X16:Z16"/>
    <mergeCell ref="W13:Z13"/>
    <mergeCell ref="I8:U50"/>
    <mergeCell ref="C7:G7"/>
    <mergeCell ref="C8:G8"/>
    <mergeCell ref="C9:G9"/>
    <mergeCell ref="C10:G10"/>
    <mergeCell ref="C11:G11"/>
    <mergeCell ref="C15:G15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X15"/>
  <sheetViews>
    <sheetView tabSelected="1" workbookViewId="0">
      <selection activeCell="V19" sqref="V19"/>
    </sheetView>
  </sheetViews>
  <sheetFormatPr defaultColWidth="8.88671875" defaultRowHeight="14.4" x14ac:dyDescent="0.3"/>
  <cols>
    <col min="2" max="2" width="12.33203125" customWidth="1"/>
    <col min="3" max="3" width="17.6640625" bestFit="1" customWidth="1"/>
    <col min="4" max="4" width="18.109375" bestFit="1" customWidth="1"/>
    <col min="5" max="5" width="23.6640625" customWidth="1"/>
    <col min="6" max="7" width="9.77734375" customWidth="1"/>
    <col min="8" max="9" width="10.77734375" customWidth="1"/>
    <col min="10" max="11" width="9.77734375" customWidth="1"/>
    <col min="12" max="13" width="10.77734375" customWidth="1"/>
    <col min="14" max="18" width="8.77734375" bestFit="1" customWidth="1"/>
    <col min="19" max="22" width="6.77734375" customWidth="1"/>
    <col min="23" max="24" width="8.88671875" customWidth="1"/>
  </cols>
  <sheetData>
    <row r="1" spans="2:24" x14ac:dyDescent="0.3">
      <c r="B1" s="12"/>
      <c r="D1" s="52" t="s">
        <v>0</v>
      </c>
      <c r="E1" s="53"/>
      <c r="F1" s="53"/>
      <c r="G1" s="54"/>
    </row>
    <row r="3" spans="2:24" x14ac:dyDescent="0.3">
      <c r="B3" s="72" t="s">
        <v>12</v>
      </c>
      <c r="C3" s="73"/>
      <c r="D3" s="73"/>
      <c r="E3" s="73"/>
      <c r="F3" s="74"/>
    </row>
    <row r="5" spans="2:24" x14ac:dyDescent="0.3">
      <c r="B5" s="11"/>
    </row>
    <row r="6" spans="2:24" ht="15.6" x14ac:dyDescent="0.3">
      <c r="B6" s="87" t="s">
        <v>28</v>
      </c>
      <c r="C6" s="87" t="s">
        <v>29</v>
      </c>
      <c r="D6" s="88" t="s">
        <v>30</v>
      </c>
      <c r="E6" s="89" t="s">
        <v>31</v>
      </c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86"/>
      <c r="X6" s="85"/>
    </row>
    <row r="7" spans="2:24" ht="15.6" customHeight="1" x14ac:dyDescent="0.3">
      <c r="B7" s="87"/>
      <c r="C7" s="87"/>
      <c r="D7" s="91"/>
      <c r="E7" s="92" t="s">
        <v>32</v>
      </c>
      <c r="F7" s="93" t="s">
        <v>33</v>
      </c>
      <c r="G7" s="94"/>
      <c r="H7" s="94"/>
      <c r="I7" s="94"/>
      <c r="J7" s="94"/>
      <c r="K7" s="94"/>
      <c r="L7" s="94"/>
      <c r="M7" s="95"/>
      <c r="N7" s="96" t="s">
        <v>34</v>
      </c>
      <c r="O7" s="96"/>
      <c r="P7" s="96"/>
      <c r="Q7" s="96"/>
      <c r="R7" s="96"/>
      <c r="S7" s="97" t="s">
        <v>35</v>
      </c>
      <c r="T7" s="97"/>
      <c r="U7" s="97"/>
      <c r="V7" s="97"/>
    </row>
    <row r="8" spans="2:24" ht="49.8" customHeight="1" x14ac:dyDescent="0.3">
      <c r="B8" s="87"/>
      <c r="C8" s="98" t="s">
        <v>103</v>
      </c>
      <c r="D8" s="98" t="s">
        <v>104</v>
      </c>
      <c r="E8" s="92"/>
      <c r="F8" s="99" t="s">
        <v>89</v>
      </c>
      <c r="G8" s="99"/>
      <c r="H8" s="99" t="s">
        <v>90</v>
      </c>
      <c r="I8" s="99"/>
      <c r="J8" s="99" t="s">
        <v>91</v>
      </c>
      <c r="K8" s="99"/>
      <c r="L8" s="99" t="s">
        <v>92</v>
      </c>
      <c r="M8" s="99"/>
      <c r="N8" s="96" t="s">
        <v>25</v>
      </c>
      <c r="O8" s="96" t="s">
        <v>26</v>
      </c>
      <c r="P8" s="96" t="s">
        <v>27</v>
      </c>
      <c r="Q8" s="96" t="s">
        <v>78</v>
      </c>
      <c r="R8" s="96" t="s">
        <v>79</v>
      </c>
      <c r="S8" s="97">
        <v>0</v>
      </c>
      <c r="T8" s="108">
        <v>1</v>
      </c>
      <c r="U8" s="97">
        <v>2</v>
      </c>
      <c r="V8" s="97" t="s">
        <v>115</v>
      </c>
    </row>
    <row r="9" spans="2:24" ht="15.6" x14ac:dyDescent="0.3">
      <c r="B9" s="87"/>
      <c r="C9" s="100"/>
      <c r="D9" s="100"/>
      <c r="E9" s="92"/>
      <c r="F9" s="101" t="s">
        <v>36</v>
      </c>
      <c r="G9" s="101" t="s">
        <v>37</v>
      </c>
      <c r="H9" s="101" t="s">
        <v>36</v>
      </c>
      <c r="I9" s="101" t="s">
        <v>37</v>
      </c>
      <c r="J9" s="101" t="s">
        <v>36</v>
      </c>
      <c r="K9" s="101" t="s">
        <v>37</v>
      </c>
      <c r="L9" s="101" t="s">
        <v>36</v>
      </c>
      <c r="M9" s="101" t="s">
        <v>37</v>
      </c>
      <c r="N9" s="96"/>
      <c r="O9" s="96"/>
      <c r="P9" s="96"/>
      <c r="Q9" s="96"/>
      <c r="R9" s="96"/>
      <c r="S9" s="97"/>
      <c r="T9" s="109"/>
      <c r="U9" s="97"/>
      <c r="V9" s="97"/>
    </row>
    <row r="10" spans="2:24" ht="15.6" x14ac:dyDescent="0.3">
      <c r="B10" s="102" t="s">
        <v>38</v>
      </c>
      <c r="C10" s="102" t="s">
        <v>105</v>
      </c>
      <c r="D10" s="103" t="s">
        <v>106</v>
      </c>
      <c r="E10" s="104" t="s">
        <v>98</v>
      </c>
      <c r="F10" s="105" t="s">
        <v>97</v>
      </c>
      <c r="G10" s="105"/>
      <c r="H10" s="105"/>
      <c r="I10" s="105" t="s">
        <v>97</v>
      </c>
      <c r="J10" s="105"/>
      <c r="K10" s="105" t="s">
        <v>97</v>
      </c>
      <c r="L10" s="105"/>
      <c r="M10" s="105" t="s">
        <v>97</v>
      </c>
      <c r="N10" s="106" t="s">
        <v>97</v>
      </c>
      <c r="O10" s="106"/>
      <c r="P10" s="106"/>
      <c r="Q10" s="106"/>
      <c r="R10" s="106"/>
      <c r="S10" s="107" t="s">
        <v>97</v>
      </c>
      <c r="T10" s="107"/>
      <c r="U10" s="107"/>
      <c r="V10" s="107"/>
    </row>
    <row r="11" spans="2:24" ht="31.2" x14ac:dyDescent="0.3">
      <c r="B11" s="102" t="s">
        <v>48</v>
      </c>
      <c r="C11" s="102" t="s">
        <v>107</v>
      </c>
      <c r="D11" s="103" t="s">
        <v>108</v>
      </c>
      <c r="E11" s="104" t="s">
        <v>99</v>
      </c>
      <c r="F11" s="105"/>
      <c r="G11" s="105" t="s">
        <v>97</v>
      </c>
      <c r="H11" s="105" t="s">
        <v>97</v>
      </c>
      <c r="I11" s="105"/>
      <c r="J11" s="105"/>
      <c r="K11" s="105" t="s">
        <v>97</v>
      </c>
      <c r="L11" s="105"/>
      <c r="M11" s="105" t="s">
        <v>97</v>
      </c>
      <c r="N11" s="106"/>
      <c r="O11" s="106" t="s">
        <v>97</v>
      </c>
      <c r="P11" s="106"/>
      <c r="Q11" s="106"/>
      <c r="R11" s="106"/>
      <c r="S11" s="107" t="s">
        <v>97</v>
      </c>
      <c r="T11" s="107"/>
      <c r="U11" s="107"/>
      <c r="V11" s="107"/>
    </row>
    <row r="12" spans="2:24" ht="31.2" x14ac:dyDescent="0.3">
      <c r="B12" s="102" t="s">
        <v>93</v>
      </c>
      <c r="C12" s="102" t="s">
        <v>109</v>
      </c>
      <c r="D12" s="103" t="s">
        <v>110</v>
      </c>
      <c r="E12" s="104" t="s">
        <v>100</v>
      </c>
      <c r="F12" s="105"/>
      <c r="G12" s="105" t="s">
        <v>97</v>
      </c>
      <c r="H12" s="105"/>
      <c r="I12" s="105" t="s">
        <v>97</v>
      </c>
      <c r="J12" s="105" t="s">
        <v>97</v>
      </c>
      <c r="K12" s="105"/>
      <c r="L12" s="105"/>
      <c r="M12" s="105"/>
      <c r="N12" s="106"/>
      <c r="O12" s="106"/>
      <c r="P12" s="106" t="s">
        <v>97</v>
      </c>
      <c r="Q12" s="106"/>
      <c r="R12" s="106"/>
      <c r="S12" s="107" t="s">
        <v>97</v>
      </c>
      <c r="T12" s="107"/>
      <c r="U12" s="107"/>
      <c r="V12" s="107"/>
    </row>
    <row r="13" spans="2:24" ht="31.2" x14ac:dyDescent="0.3">
      <c r="B13" s="102" t="s">
        <v>94</v>
      </c>
      <c r="C13" s="102" t="s">
        <v>114</v>
      </c>
      <c r="D13" s="103" t="s">
        <v>112</v>
      </c>
      <c r="E13" s="104" t="s">
        <v>102</v>
      </c>
      <c r="F13" s="105"/>
      <c r="G13" s="105" t="s">
        <v>97</v>
      </c>
      <c r="H13" s="105"/>
      <c r="I13" s="105" t="s">
        <v>97</v>
      </c>
      <c r="J13" s="105"/>
      <c r="K13" s="105" t="s">
        <v>97</v>
      </c>
      <c r="L13" s="105" t="s">
        <v>97</v>
      </c>
      <c r="M13" s="105"/>
      <c r="N13" s="106"/>
      <c r="O13" s="106"/>
      <c r="P13" s="106"/>
      <c r="Q13" s="106" t="s">
        <v>97</v>
      </c>
      <c r="R13" s="106"/>
      <c r="S13" s="107"/>
      <c r="T13" s="107" t="s">
        <v>97</v>
      </c>
      <c r="U13" s="107"/>
      <c r="V13" s="107"/>
    </row>
    <row r="14" spans="2:24" ht="31.2" x14ac:dyDescent="0.3">
      <c r="B14" s="102" t="s">
        <v>95</v>
      </c>
      <c r="C14" s="102" t="s">
        <v>111</v>
      </c>
      <c r="D14" s="103" t="s">
        <v>113</v>
      </c>
      <c r="E14" s="104" t="s">
        <v>101</v>
      </c>
      <c r="F14" s="105"/>
      <c r="G14" s="105" t="s">
        <v>97</v>
      </c>
      <c r="H14" s="105"/>
      <c r="I14" s="105" t="s">
        <v>97</v>
      </c>
      <c r="J14" s="105"/>
      <c r="K14" s="105" t="s">
        <v>97</v>
      </c>
      <c r="L14" s="105"/>
      <c r="M14" s="105" t="s">
        <v>97</v>
      </c>
      <c r="N14" s="106"/>
      <c r="O14" s="106"/>
      <c r="P14" s="106"/>
      <c r="Q14" s="106"/>
      <c r="R14" s="106" t="s">
        <v>97</v>
      </c>
      <c r="S14" s="107"/>
      <c r="T14" s="107"/>
      <c r="U14" s="107"/>
      <c r="V14" s="107" t="s">
        <v>97</v>
      </c>
    </row>
    <row r="15" spans="2:24" ht="31.2" x14ac:dyDescent="0.3">
      <c r="B15" s="102" t="s">
        <v>96</v>
      </c>
      <c r="C15" s="102" t="s">
        <v>116</v>
      </c>
      <c r="D15" s="103" t="s">
        <v>113</v>
      </c>
      <c r="E15" s="104" t="s">
        <v>101</v>
      </c>
      <c r="F15" s="105"/>
      <c r="G15" s="105" t="s">
        <v>97</v>
      </c>
      <c r="H15" s="105"/>
      <c r="I15" s="105" t="s">
        <v>97</v>
      </c>
      <c r="J15" s="105"/>
      <c r="K15" s="105" t="s">
        <v>97</v>
      </c>
      <c r="L15" s="105"/>
      <c r="M15" s="105" t="s">
        <v>97</v>
      </c>
      <c r="N15" s="106"/>
      <c r="O15" s="106"/>
      <c r="P15" s="106"/>
      <c r="Q15" s="106"/>
      <c r="R15" s="106" t="s">
        <v>97</v>
      </c>
      <c r="S15" s="107"/>
      <c r="T15" s="107"/>
      <c r="U15" s="107" t="s">
        <v>97</v>
      </c>
      <c r="V15" s="107"/>
    </row>
  </sheetData>
  <mergeCells count="25">
    <mergeCell ref="T8:T9"/>
    <mergeCell ref="E6:V6"/>
    <mergeCell ref="D1:G1"/>
    <mergeCell ref="B3:F3"/>
    <mergeCell ref="B6:B9"/>
    <mergeCell ref="C6:C7"/>
    <mergeCell ref="D6:D7"/>
    <mergeCell ref="D8:D9"/>
    <mergeCell ref="F8:G8"/>
    <mergeCell ref="U8:U9"/>
    <mergeCell ref="V8:V9"/>
    <mergeCell ref="R8:R9"/>
    <mergeCell ref="S7:V7"/>
    <mergeCell ref="H8:I8"/>
    <mergeCell ref="J8:K8"/>
    <mergeCell ref="S8:S9"/>
    <mergeCell ref="N8:N9"/>
    <mergeCell ref="O8:O9"/>
    <mergeCell ref="P8:P9"/>
    <mergeCell ref="Q8:Q9"/>
    <mergeCell ref="C8:C9"/>
    <mergeCell ref="L8:M8"/>
    <mergeCell ref="E7:E9"/>
    <mergeCell ref="N7:R7"/>
    <mergeCell ref="F7:M7"/>
  </mergeCells>
  <phoneticPr fontId="1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E16" sqref="E16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16.1093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33203125" customWidth="1"/>
  </cols>
  <sheetData>
    <row r="1" spans="2:14" x14ac:dyDescent="0.3">
      <c r="B1" s="12"/>
      <c r="D1" s="52" t="s">
        <v>0</v>
      </c>
      <c r="E1" s="53"/>
      <c r="F1" s="53"/>
      <c r="G1" s="54"/>
    </row>
    <row r="3" spans="2:14" x14ac:dyDescent="0.3">
      <c r="B3" s="55" t="s">
        <v>39</v>
      </c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2:14" x14ac:dyDescent="0.3">
      <c r="B4" s="56" t="s">
        <v>40</v>
      </c>
      <c r="C4" s="39" t="s">
        <v>41</v>
      </c>
      <c r="D4" s="66" t="s">
        <v>42</v>
      </c>
      <c r="E4" s="58" t="s">
        <v>43</v>
      </c>
      <c r="F4" s="64"/>
      <c r="G4" s="64"/>
      <c r="H4" s="64"/>
      <c r="I4" s="64"/>
      <c r="J4" s="59"/>
      <c r="K4" s="58" t="s">
        <v>44</v>
      </c>
      <c r="L4" s="59"/>
    </row>
    <row r="5" spans="2:14" ht="15" thickBot="1" x14ac:dyDescent="0.35">
      <c r="B5" s="57"/>
      <c r="C5" s="65"/>
      <c r="D5" s="67"/>
      <c r="E5" s="2" t="s">
        <v>17</v>
      </c>
      <c r="F5" s="2" t="s">
        <v>17</v>
      </c>
      <c r="G5" s="2" t="s">
        <v>17</v>
      </c>
      <c r="H5" s="2" t="s">
        <v>17</v>
      </c>
      <c r="I5" s="60" t="s">
        <v>17</v>
      </c>
      <c r="J5" s="61"/>
      <c r="K5" s="2" t="s">
        <v>45</v>
      </c>
      <c r="L5" s="2" t="s">
        <v>46</v>
      </c>
    </row>
    <row r="6" spans="2:14" ht="15" thickTop="1" x14ac:dyDescent="0.3">
      <c r="B6" s="13">
        <v>9</v>
      </c>
      <c r="C6" s="62" t="s">
        <v>47</v>
      </c>
      <c r="D6" s="4" t="s">
        <v>38</v>
      </c>
      <c r="E6" s="14" t="s">
        <v>17</v>
      </c>
      <c r="F6" s="14" t="s">
        <v>17</v>
      </c>
      <c r="G6" s="14" t="s">
        <v>21</v>
      </c>
      <c r="H6" s="14" t="s">
        <v>17</v>
      </c>
      <c r="I6" s="68" t="s">
        <v>17</v>
      </c>
      <c r="J6" s="69"/>
      <c r="K6" s="14" t="s">
        <v>17</v>
      </c>
      <c r="L6" s="13" t="s">
        <v>17</v>
      </c>
    </row>
    <row r="7" spans="2:14" x14ac:dyDescent="0.3">
      <c r="B7" s="13">
        <v>10</v>
      </c>
      <c r="C7" s="62"/>
      <c r="D7" s="4" t="s">
        <v>48</v>
      </c>
      <c r="E7" s="13">
        <v>5</v>
      </c>
      <c r="F7" s="13">
        <v>6</v>
      </c>
      <c r="G7" s="13" t="s">
        <v>21</v>
      </c>
      <c r="H7" s="13" t="s">
        <v>17</v>
      </c>
      <c r="I7" s="58" t="s">
        <v>17</v>
      </c>
      <c r="J7" s="59"/>
      <c r="K7" s="13" t="s">
        <v>17</v>
      </c>
      <c r="L7" s="13" t="s">
        <v>17</v>
      </c>
    </row>
    <row r="8" spans="2:14" x14ac:dyDescent="0.3">
      <c r="B8" s="13">
        <v>11</v>
      </c>
      <c r="C8" s="62"/>
      <c r="D8" s="10" t="s">
        <v>17</v>
      </c>
      <c r="E8" s="13" t="s">
        <v>17</v>
      </c>
      <c r="F8" s="13" t="s">
        <v>17</v>
      </c>
      <c r="G8" s="13" t="s">
        <v>21</v>
      </c>
      <c r="H8" s="13" t="s">
        <v>17</v>
      </c>
      <c r="I8" s="58" t="s">
        <v>17</v>
      </c>
      <c r="J8" s="59"/>
      <c r="K8" s="13" t="s">
        <v>17</v>
      </c>
      <c r="L8" s="13" t="s">
        <v>17</v>
      </c>
    </row>
    <row r="9" spans="2:14" x14ac:dyDescent="0.3">
      <c r="B9" s="13">
        <v>12</v>
      </c>
      <c r="C9" s="62"/>
      <c r="D9" s="10" t="s">
        <v>17</v>
      </c>
      <c r="E9" s="13" t="s">
        <v>17</v>
      </c>
      <c r="F9" s="13" t="s">
        <v>17</v>
      </c>
      <c r="G9" s="13" t="s">
        <v>21</v>
      </c>
      <c r="H9" s="13" t="s">
        <v>17</v>
      </c>
      <c r="I9" s="58" t="s">
        <v>17</v>
      </c>
      <c r="J9" s="59"/>
      <c r="K9" s="13" t="s">
        <v>17</v>
      </c>
      <c r="L9" s="13" t="s">
        <v>17</v>
      </c>
    </row>
    <row r="10" spans="2:14" ht="15" thickBot="1" x14ac:dyDescent="0.35">
      <c r="B10" s="2">
        <v>13</v>
      </c>
      <c r="C10" s="63"/>
      <c r="D10" s="9" t="s">
        <v>17</v>
      </c>
      <c r="E10" s="2" t="s">
        <v>17</v>
      </c>
      <c r="F10" s="2" t="s">
        <v>17</v>
      </c>
      <c r="G10" s="2" t="s">
        <v>21</v>
      </c>
      <c r="H10" s="2" t="s">
        <v>17</v>
      </c>
      <c r="I10" s="60" t="s">
        <v>17</v>
      </c>
      <c r="J10" s="61"/>
      <c r="K10" s="2" t="s">
        <v>17</v>
      </c>
      <c r="L10" s="2" t="s">
        <v>17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49</v>
      </c>
      <c r="K12" s="15"/>
    </row>
    <row r="13" spans="2:14" ht="15.6" thickTop="1" thickBot="1" x14ac:dyDescent="0.35">
      <c r="B13" s="44" t="s">
        <v>50</v>
      </c>
      <c r="C13" s="45"/>
      <c r="D13" s="45"/>
      <c r="E13" s="45"/>
      <c r="F13" s="36" t="s">
        <v>51</v>
      </c>
      <c r="G13" s="37"/>
      <c r="H13" s="44" t="s">
        <v>52</v>
      </c>
      <c r="I13" s="45"/>
      <c r="J13" s="45"/>
      <c r="K13" s="45"/>
      <c r="L13" s="46"/>
      <c r="M13" s="50" t="s">
        <v>53</v>
      </c>
      <c r="N13" s="51"/>
    </row>
    <row r="14" spans="2:14" ht="15" thickTop="1" x14ac:dyDescent="0.3">
      <c r="B14" s="28" t="s">
        <v>54</v>
      </c>
      <c r="C14" s="30" t="s">
        <v>55</v>
      </c>
      <c r="D14" s="30" t="s">
        <v>56</v>
      </c>
      <c r="E14" s="32" t="s">
        <v>57</v>
      </c>
      <c r="F14" s="34" t="s">
        <v>58</v>
      </c>
      <c r="G14" s="38" t="s">
        <v>59</v>
      </c>
      <c r="H14" s="40" t="s">
        <v>60</v>
      </c>
      <c r="I14" s="30" t="s">
        <v>54</v>
      </c>
      <c r="J14" s="30" t="s">
        <v>55</v>
      </c>
      <c r="K14" s="42" t="s">
        <v>61</v>
      </c>
      <c r="L14" s="47" t="s">
        <v>62</v>
      </c>
      <c r="M14" s="49" t="s">
        <v>63</v>
      </c>
      <c r="N14" s="39" t="s">
        <v>64</v>
      </c>
    </row>
    <row r="15" spans="2:14" x14ac:dyDescent="0.3">
      <c r="B15" s="29"/>
      <c r="C15" s="31"/>
      <c r="D15" s="31"/>
      <c r="E15" s="33"/>
      <c r="F15" s="35"/>
      <c r="G15" s="38"/>
      <c r="H15" s="41"/>
      <c r="I15" s="31"/>
      <c r="J15" s="31"/>
      <c r="K15" s="43"/>
      <c r="L15" s="48"/>
      <c r="M15" s="28"/>
      <c r="N15" s="34"/>
    </row>
    <row r="16" spans="2:14" x14ac:dyDescent="0.3">
      <c r="B16" s="19">
        <f>SUM(C16:D16)</f>
        <v>0</v>
      </c>
      <c r="C16" s="16">
        <v>0</v>
      </c>
      <c r="D16" s="16">
        <v>0</v>
      </c>
      <c r="E16" s="17"/>
      <c r="F16" s="18"/>
      <c r="G16" s="8" t="s">
        <v>65</v>
      </c>
      <c r="H16" s="7" t="s">
        <v>65</v>
      </c>
      <c r="I16" s="19">
        <f>SUM(J16:K16)</f>
        <v>0</v>
      </c>
      <c r="J16" s="16">
        <v>0</v>
      </c>
      <c r="K16" s="20">
        <v>0</v>
      </c>
      <c r="L16" s="21"/>
      <c r="M16" s="6" t="s">
        <v>65</v>
      </c>
      <c r="N16" s="22">
        <f>C16</f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2026-04-06T16:16:40Z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